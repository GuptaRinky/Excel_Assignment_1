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Q37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N5" i="1"/>
  <c r="N3" i="1"/>
  <c r="M3" i="1"/>
  <c r="P5" i="1" l="1"/>
  <c r="P3" i="1"/>
  <c r="N4" i="1"/>
  <c r="P4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</calcChain>
</file>

<file path=xl/sharedStrings.xml><?xml version="1.0" encoding="utf-8"?>
<sst xmlns="http://schemas.openxmlformats.org/spreadsheetml/2006/main" count="206" uniqueCount="112">
  <si>
    <t>Full_Name</t>
  </si>
  <si>
    <t>Age</t>
  </si>
  <si>
    <t>Gender</t>
  </si>
  <si>
    <t>Membership_Type</t>
  </si>
  <si>
    <t>Start_Date</t>
  </si>
  <si>
    <t>End_Date</t>
  </si>
  <si>
    <t>Monthly_Fee</t>
  </si>
  <si>
    <t>Attendance</t>
  </si>
  <si>
    <t>City</t>
  </si>
  <si>
    <t>Referred_By</t>
  </si>
  <si>
    <t>M001</t>
  </si>
  <si>
    <t>Anay Shanker</t>
  </si>
  <si>
    <t>Male</t>
  </si>
  <si>
    <t>Basic</t>
  </si>
  <si>
    <t>Bengaluru</t>
  </si>
  <si>
    <t>Hiran Shan</t>
  </si>
  <si>
    <t>M002</t>
  </si>
  <si>
    <t>Parinaaz Shanker</t>
  </si>
  <si>
    <t>Pune</t>
  </si>
  <si>
    <t>Kiara Kakar</t>
  </si>
  <si>
    <t>M003</t>
  </si>
  <si>
    <t>Aniruddh Batra</t>
  </si>
  <si>
    <t>Standard</t>
  </si>
  <si>
    <t>Hyderabad</t>
  </si>
  <si>
    <t>Jhanvi Chaudhary</t>
  </si>
  <si>
    <t>M004</t>
  </si>
  <si>
    <t>Madhup Kapur</t>
  </si>
  <si>
    <t>Female</t>
  </si>
  <si>
    <t>Tara Swaminathan</t>
  </si>
  <si>
    <t>M005</t>
  </si>
  <si>
    <t>Rasha Kakar</t>
  </si>
  <si>
    <t>Family</t>
  </si>
  <si>
    <t>Madhav Singh</t>
  </si>
  <si>
    <t>M006</t>
  </si>
  <si>
    <t>Ehsaan Batra</t>
  </si>
  <si>
    <t>Mumbai</t>
  </si>
  <si>
    <t>Shray Ramakrishnan</t>
  </si>
  <si>
    <t>M007</t>
  </si>
  <si>
    <t>Zara Bains</t>
  </si>
  <si>
    <t>M008</t>
  </si>
  <si>
    <t>Uthkarsh Baral</t>
  </si>
  <si>
    <t>Premium</t>
  </si>
  <si>
    <t>Kolkata</t>
  </si>
  <si>
    <t>M009</t>
  </si>
  <si>
    <t>Kashvi Char</t>
  </si>
  <si>
    <t>Nitara Comar</t>
  </si>
  <si>
    <t>M010</t>
  </si>
  <si>
    <t>Dhanush Varma</t>
  </si>
  <si>
    <t>Ranbir Karan</t>
  </si>
  <si>
    <t>M011</t>
  </si>
  <si>
    <t>Ishaan Goyal</t>
  </si>
  <si>
    <t>Rati Sanghvi</t>
  </si>
  <si>
    <t>M012</t>
  </si>
  <si>
    <t>Mahika Ravi</t>
  </si>
  <si>
    <t>Ishaan Kashyap</t>
  </si>
  <si>
    <t>M013</t>
  </si>
  <si>
    <t>Purab Reddy</t>
  </si>
  <si>
    <t>M014</t>
  </si>
  <si>
    <t>Tiya Soni</t>
  </si>
  <si>
    <t>M015</t>
  </si>
  <si>
    <t>Zara Dugar</t>
  </si>
  <si>
    <t>M016</t>
  </si>
  <si>
    <t>Lakshit Mander</t>
  </si>
  <si>
    <t>M017</t>
  </si>
  <si>
    <t>Neysa Krish</t>
  </si>
  <si>
    <t>M018</t>
  </si>
  <si>
    <t>Prerak Boase</t>
  </si>
  <si>
    <t>Delhi</t>
  </si>
  <si>
    <t>M019</t>
  </si>
  <si>
    <t>Siya Master</t>
  </si>
  <si>
    <t>M020</t>
  </si>
  <si>
    <t>Madhup Biswas</t>
  </si>
  <si>
    <t>Tanya Bajwa</t>
  </si>
  <si>
    <t>M021</t>
  </si>
  <si>
    <t>Indrans Ratti</t>
  </si>
  <si>
    <t>M022</t>
  </si>
  <si>
    <t>Kimaya Balay</t>
  </si>
  <si>
    <t>M023</t>
  </si>
  <si>
    <t>Eva Dass</t>
  </si>
  <si>
    <t>M024</t>
  </si>
  <si>
    <t>Pihu Wali</t>
  </si>
  <si>
    <t>M025</t>
  </si>
  <si>
    <t>Tiya Rege</t>
  </si>
  <si>
    <t>Adira Brar</t>
  </si>
  <si>
    <t>M026</t>
  </si>
  <si>
    <t>Aarav Sen</t>
  </si>
  <si>
    <t>M027</t>
  </si>
  <si>
    <t>Dishani Bera</t>
  </si>
  <si>
    <t>M028</t>
  </si>
  <si>
    <t>Indrans Grover</t>
  </si>
  <si>
    <t>M029</t>
  </si>
  <si>
    <t>Kismat Edwin</t>
  </si>
  <si>
    <t>M030</t>
  </si>
  <si>
    <t>Taran Vyas</t>
  </si>
  <si>
    <t>Nakul Balakrishnan</t>
  </si>
  <si>
    <t>M031</t>
  </si>
  <si>
    <t>Jiya Baral</t>
  </si>
  <si>
    <t>Darshit Sidhu</t>
  </si>
  <si>
    <t>M032</t>
  </si>
  <si>
    <t>Gokul Sahni</t>
  </si>
  <si>
    <t>M033</t>
  </si>
  <si>
    <t>Prerak Lalla</t>
  </si>
  <si>
    <t>M034</t>
  </si>
  <si>
    <t>Hrishita Shroff</t>
  </si>
  <si>
    <t>Riya Dugal</t>
  </si>
  <si>
    <t>M035</t>
  </si>
  <si>
    <t>Oorja Sachar</t>
  </si>
  <si>
    <t>Member_ID</t>
  </si>
  <si>
    <t>Membership_Duration_Months</t>
  </si>
  <si>
    <t>Total_Revenue</t>
  </si>
  <si>
    <t>Referred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</si>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</sst>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7"/>
  <sheetViews>
    <sheetView tabSelected="1" topLeftCell="G1" zoomScale="86" zoomScaleNormal="86" workbookViewId="0">
      <selection activeCell="O15" sqref="O15"/>
    </sheetView>
  </sheetViews>
  <sheetFormatPr defaultRowHeight="14.5" x14ac:dyDescent="0.35"/>
  <cols>
    <col min="2" max="2" width="11.7265625" bestFit="1" customWidth="1"/>
    <col min="3" max="3" width="15.1796875" bestFit="1" customWidth="1"/>
    <col min="4" max="4" width="7" customWidth="1"/>
    <col min="5" max="5" width="9.54296875" customWidth="1"/>
    <col min="6" max="6" width="19.1796875" customWidth="1"/>
    <col min="7" max="7" width="12.81640625" customWidth="1"/>
    <col min="8" max="8" width="13.453125" customWidth="1"/>
    <col min="9" max="9" width="12.90625" bestFit="1" customWidth="1"/>
    <col min="10" max="10" width="11.36328125" bestFit="1" customWidth="1"/>
    <col min="11" max="11" width="12.36328125" customWidth="1"/>
    <col min="12" max="12" width="19.26953125" customWidth="1"/>
    <col min="13" max="13" width="30.36328125" bestFit="1" customWidth="1"/>
    <col min="14" max="14" width="28" bestFit="1" customWidth="1"/>
    <col min="15" max="15" width="20" customWidth="1"/>
    <col min="16" max="16" width="14.81640625" bestFit="1" customWidth="1"/>
    <col min="17" max="17" width="11.1796875" style="6" bestFit="1" customWidth="1"/>
  </cols>
  <sheetData>
    <row r="2" spans="2:17" ht="15.5" x14ac:dyDescent="0.35">
      <c r="B2" s="3" t="s">
        <v>107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108</v>
      </c>
      <c r="N2" s="5" t="s">
        <v>108</v>
      </c>
      <c r="O2" s="5" t="s">
        <v>110</v>
      </c>
      <c r="P2" s="3" t="s">
        <v>109</v>
      </c>
      <c r="Q2" s="7" t="s">
        <v>111</v>
      </c>
    </row>
    <row r="3" spans="2:17" x14ac:dyDescent="0.35">
      <c r="B3" s="1" t="s">
        <v>10</v>
      </c>
      <c r="C3" s="1" t="s">
        <v>11</v>
      </c>
      <c r="D3" s="1">
        <v>59</v>
      </c>
      <c r="E3" s="1" t="s">
        <v>12</v>
      </c>
      <c r="F3" s="1" t="s">
        <v>13</v>
      </c>
      <c r="G3" s="2">
        <v>45235</v>
      </c>
      <c r="H3" s="2">
        <v>45425</v>
      </c>
      <c r="I3" s="1">
        <v>800</v>
      </c>
      <c r="J3" s="1">
        <v>25</v>
      </c>
      <c r="K3" s="1" t="s">
        <v>14</v>
      </c>
      <c r="L3" s="1" t="s">
        <v>15</v>
      </c>
      <c r="M3" s="1">
        <f>INT((H3-G3)/30)</f>
        <v>6</v>
      </c>
      <c r="N3" s="4">
        <f>DAYS360(G3,H3)/30</f>
        <v>6.2666666666666666</v>
      </c>
      <c r="O3" s="4" t="str">
        <f>IF(L3&lt;&gt;"", "Yes", "No")</f>
        <v>Yes</v>
      </c>
      <c r="P3" s="4">
        <f>I3*N3</f>
        <v>5013.333333333333</v>
      </c>
      <c r="Q3" s="8" t="str">
        <f>IF(D3&lt;=30,"Youth",IF(D3&lt;=45,"Adult","Senior"))</f>
        <v>Senior</v>
      </c>
    </row>
    <row r="4" spans="2:17" x14ac:dyDescent="0.35">
      <c r="B4" s="1" t="s">
        <v>16</v>
      </c>
      <c r="C4" s="1" t="s">
        <v>17</v>
      </c>
      <c r="D4" s="1">
        <v>27</v>
      </c>
      <c r="E4" s="1" t="s">
        <v>12</v>
      </c>
      <c r="F4" s="1" t="s">
        <v>13</v>
      </c>
      <c r="G4" s="2">
        <v>45714</v>
      </c>
      <c r="H4" s="2">
        <v>45740</v>
      </c>
      <c r="I4" s="1">
        <v>800</v>
      </c>
      <c r="J4" s="1">
        <v>20</v>
      </c>
      <c r="K4" s="1" t="s">
        <v>18</v>
      </c>
      <c r="L4" s="1" t="s">
        <v>19</v>
      </c>
      <c r="M4" s="1">
        <f t="shared" ref="M4:M37" si="0">INT((H4-G4)/30)</f>
        <v>0</v>
      </c>
      <c r="N4" s="4">
        <f t="shared" ref="N4:N37" si="1">DAYS360(G4,H4)/30</f>
        <v>0.93333333333333335</v>
      </c>
      <c r="O4" s="4" t="str">
        <f t="shared" ref="O4:O37" si="2">IF(L4&lt;&gt;"", "Yes", "No")</f>
        <v>Yes</v>
      </c>
      <c r="P4" s="4">
        <f t="shared" ref="P4:P37" si="3">I4*N4</f>
        <v>746.66666666666663</v>
      </c>
      <c r="Q4" s="8" t="str">
        <f t="shared" ref="Q4:Q37" si="4">IF(D4&lt;=30,"Youth",IF(D4&lt;=45,"Adult","Senior"))</f>
        <v>Youth</v>
      </c>
    </row>
    <row r="5" spans="2:17" x14ac:dyDescent="0.35">
      <c r="B5" s="1" t="s">
        <v>20</v>
      </c>
      <c r="C5" s="1" t="s">
        <v>21</v>
      </c>
      <c r="D5" s="1">
        <v>24</v>
      </c>
      <c r="E5" s="1" t="s">
        <v>12</v>
      </c>
      <c r="F5" s="1" t="s">
        <v>22</v>
      </c>
      <c r="G5" s="2">
        <v>45191</v>
      </c>
      <c r="H5" s="2">
        <v>45371</v>
      </c>
      <c r="I5" s="1">
        <v>1200</v>
      </c>
      <c r="J5" s="1">
        <v>18</v>
      </c>
      <c r="K5" s="1" t="s">
        <v>23</v>
      </c>
      <c r="L5" s="1" t="s">
        <v>24</v>
      </c>
      <c r="M5" s="1">
        <f t="shared" si="0"/>
        <v>6</v>
      </c>
      <c r="N5" s="4">
        <f>DAYS360(G5,H5)/30</f>
        <v>5.9333333333333336</v>
      </c>
      <c r="O5" s="4" t="str">
        <f t="shared" si="2"/>
        <v>Yes</v>
      </c>
      <c r="P5" s="4">
        <f t="shared" si="3"/>
        <v>7120</v>
      </c>
      <c r="Q5" s="8" t="str">
        <f t="shared" si="4"/>
        <v>Youth</v>
      </c>
    </row>
    <row r="6" spans="2:17" x14ac:dyDescent="0.35">
      <c r="B6" s="1" t="s">
        <v>25</v>
      </c>
      <c r="C6" s="1" t="s">
        <v>26</v>
      </c>
      <c r="D6" s="1">
        <v>31</v>
      </c>
      <c r="E6" s="1" t="s">
        <v>27</v>
      </c>
      <c r="F6" s="1" t="s">
        <v>22</v>
      </c>
      <c r="G6" s="2">
        <v>45479</v>
      </c>
      <c r="H6" s="2">
        <v>45587</v>
      </c>
      <c r="I6" s="1">
        <v>1200</v>
      </c>
      <c r="J6" s="1">
        <v>16</v>
      </c>
      <c r="K6" s="1" t="s">
        <v>23</v>
      </c>
      <c r="L6" s="1" t="s">
        <v>28</v>
      </c>
      <c r="M6" s="1">
        <f t="shared" si="0"/>
        <v>3</v>
      </c>
      <c r="N6" s="4">
        <f t="shared" si="1"/>
        <v>3.5333333333333332</v>
      </c>
      <c r="O6" s="4" t="str">
        <f t="shared" si="2"/>
        <v>Yes</v>
      </c>
      <c r="P6" s="4">
        <f t="shared" si="3"/>
        <v>4240</v>
      </c>
      <c r="Q6" s="8" t="str">
        <f t="shared" si="4"/>
        <v>Adult</v>
      </c>
    </row>
    <row r="7" spans="2:17" x14ac:dyDescent="0.35">
      <c r="B7" s="1" t="s">
        <v>29</v>
      </c>
      <c r="C7" s="1" t="s">
        <v>30</v>
      </c>
      <c r="D7" s="1">
        <v>19</v>
      </c>
      <c r="E7" s="1" t="s">
        <v>12</v>
      </c>
      <c r="F7" s="1" t="s">
        <v>31</v>
      </c>
      <c r="G7" s="2">
        <v>45286</v>
      </c>
      <c r="H7" s="2">
        <v>45501</v>
      </c>
      <c r="I7" s="1">
        <v>2500</v>
      </c>
      <c r="J7" s="1">
        <v>12</v>
      </c>
      <c r="K7" s="1" t="s">
        <v>14</v>
      </c>
      <c r="L7" s="1" t="s">
        <v>32</v>
      </c>
      <c r="M7" s="1">
        <f t="shared" si="0"/>
        <v>7</v>
      </c>
      <c r="N7" s="4">
        <f t="shared" si="1"/>
        <v>7.0666666666666664</v>
      </c>
      <c r="O7" s="4" t="str">
        <f t="shared" si="2"/>
        <v>Yes</v>
      </c>
      <c r="P7" s="4">
        <f t="shared" si="3"/>
        <v>17666.666666666668</v>
      </c>
      <c r="Q7" s="8" t="str">
        <f t="shared" si="4"/>
        <v>Youth</v>
      </c>
    </row>
    <row r="8" spans="2:17" x14ac:dyDescent="0.35">
      <c r="B8" s="1" t="s">
        <v>33</v>
      </c>
      <c r="C8" s="1" t="s">
        <v>34</v>
      </c>
      <c r="D8" s="1">
        <v>40</v>
      </c>
      <c r="E8" s="1" t="s">
        <v>12</v>
      </c>
      <c r="F8" s="1" t="s">
        <v>13</v>
      </c>
      <c r="G8" s="2">
        <v>45317</v>
      </c>
      <c r="H8" s="2">
        <v>45392</v>
      </c>
      <c r="I8" s="1">
        <v>800</v>
      </c>
      <c r="J8" s="1">
        <v>14</v>
      </c>
      <c r="K8" s="1" t="s">
        <v>35</v>
      </c>
      <c r="L8" s="1" t="s">
        <v>36</v>
      </c>
      <c r="M8" s="1">
        <f t="shared" si="0"/>
        <v>2</v>
      </c>
      <c r="N8" s="4">
        <f t="shared" si="1"/>
        <v>2.4666666666666668</v>
      </c>
      <c r="O8" s="4" t="str">
        <f t="shared" si="2"/>
        <v>Yes</v>
      </c>
      <c r="P8" s="4">
        <f t="shared" si="3"/>
        <v>1973.3333333333335</v>
      </c>
      <c r="Q8" s="8" t="str">
        <f t="shared" si="4"/>
        <v>Adult</v>
      </c>
    </row>
    <row r="9" spans="2:17" x14ac:dyDescent="0.35">
      <c r="B9" s="1" t="s">
        <v>37</v>
      </c>
      <c r="C9" s="1" t="s">
        <v>38</v>
      </c>
      <c r="D9" s="1">
        <v>41</v>
      </c>
      <c r="E9" s="1" t="s">
        <v>27</v>
      </c>
      <c r="F9" s="1" t="s">
        <v>13</v>
      </c>
      <c r="G9" s="2">
        <v>45588</v>
      </c>
      <c r="H9" s="2">
        <v>45677</v>
      </c>
      <c r="I9" s="1">
        <v>800</v>
      </c>
      <c r="J9" s="1">
        <v>25</v>
      </c>
      <c r="K9" s="1" t="s">
        <v>18</v>
      </c>
      <c r="L9" s="1"/>
      <c r="M9" s="1">
        <f t="shared" si="0"/>
        <v>2</v>
      </c>
      <c r="N9" s="4">
        <f t="shared" si="1"/>
        <v>2.9</v>
      </c>
      <c r="O9" s="4" t="str">
        <f t="shared" si="2"/>
        <v>No</v>
      </c>
      <c r="P9" s="4">
        <f t="shared" si="3"/>
        <v>2320</v>
      </c>
      <c r="Q9" s="8" t="str">
        <f t="shared" si="4"/>
        <v>Adult</v>
      </c>
    </row>
    <row r="10" spans="2:17" x14ac:dyDescent="0.35">
      <c r="B10" s="1" t="s">
        <v>39</v>
      </c>
      <c r="C10" s="1" t="s">
        <v>40</v>
      </c>
      <c r="D10" s="1">
        <v>43</v>
      </c>
      <c r="E10" s="1" t="s">
        <v>12</v>
      </c>
      <c r="F10" s="1" t="s">
        <v>41</v>
      </c>
      <c r="G10" s="2">
        <v>45450</v>
      </c>
      <c r="H10" s="2">
        <v>45563</v>
      </c>
      <c r="I10" s="1">
        <v>1800</v>
      </c>
      <c r="J10" s="1">
        <v>28</v>
      </c>
      <c r="K10" s="1" t="s">
        <v>42</v>
      </c>
      <c r="L10" s="1"/>
      <c r="M10" s="1">
        <f t="shared" si="0"/>
        <v>3</v>
      </c>
      <c r="N10" s="4">
        <f t="shared" si="1"/>
        <v>3.7</v>
      </c>
      <c r="O10" s="4" t="str">
        <f t="shared" si="2"/>
        <v>No</v>
      </c>
      <c r="P10" s="4">
        <f t="shared" si="3"/>
        <v>6660</v>
      </c>
      <c r="Q10" s="8" t="str">
        <f t="shared" si="4"/>
        <v>Adult</v>
      </c>
    </row>
    <row r="11" spans="2:17" x14ac:dyDescent="0.35">
      <c r="B11" s="1" t="s">
        <v>43</v>
      </c>
      <c r="C11" s="1" t="s">
        <v>44</v>
      </c>
      <c r="D11" s="1">
        <v>42</v>
      </c>
      <c r="E11" s="1" t="s">
        <v>12</v>
      </c>
      <c r="F11" s="1" t="s">
        <v>13</v>
      </c>
      <c r="G11" s="2">
        <v>45569</v>
      </c>
      <c r="H11" s="2">
        <v>45582</v>
      </c>
      <c r="I11" s="1">
        <v>800</v>
      </c>
      <c r="J11" s="1">
        <v>3</v>
      </c>
      <c r="K11" s="1" t="s">
        <v>42</v>
      </c>
      <c r="L11" s="1" t="s">
        <v>45</v>
      </c>
      <c r="M11" s="1">
        <f t="shared" si="0"/>
        <v>0</v>
      </c>
      <c r="N11" s="4">
        <f t="shared" si="1"/>
        <v>0.43333333333333335</v>
      </c>
      <c r="O11" s="4" t="str">
        <f t="shared" si="2"/>
        <v>Yes</v>
      </c>
      <c r="P11" s="4">
        <f t="shared" si="3"/>
        <v>346.66666666666669</v>
      </c>
      <c r="Q11" s="8" t="str">
        <f t="shared" si="4"/>
        <v>Adult</v>
      </c>
    </row>
    <row r="12" spans="2:17" x14ac:dyDescent="0.35">
      <c r="B12" s="1" t="s">
        <v>46</v>
      </c>
      <c r="C12" s="1" t="s">
        <v>47</v>
      </c>
      <c r="D12" s="1">
        <v>37</v>
      </c>
      <c r="E12" s="1" t="s">
        <v>12</v>
      </c>
      <c r="F12" s="1" t="s">
        <v>22</v>
      </c>
      <c r="G12" s="2">
        <v>45202</v>
      </c>
      <c r="H12" s="2">
        <v>45280</v>
      </c>
      <c r="I12" s="1">
        <v>1200</v>
      </c>
      <c r="J12" s="1">
        <v>29</v>
      </c>
      <c r="K12" s="1" t="s">
        <v>35</v>
      </c>
      <c r="L12" s="1" t="s">
        <v>48</v>
      </c>
      <c r="M12" s="1">
        <f t="shared" si="0"/>
        <v>2</v>
      </c>
      <c r="N12" s="4">
        <f t="shared" si="1"/>
        <v>2.5666666666666669</v>
      </c>
      <c r="O12" s="4" t="str">
        <f t="shared" si="2"/>
        <v>Yes</v>
      </c>
      <c r="P12" s="4">
        <f t="shared" si="3"/>
        <v>3080.0000000000005</v>
      </c>
      <c r="Q12" s="8" t="str">
        <f t="shared" si="4"/>
        <v>Adult</v>
      </c>
    </row>
    <row r="13" spans="2:17" x14ac:dyDescent="0.35">
      <c r="B13" s="1" t="s">
        <v>49</v>
      </c>
      <c r="C13" s="1" t="s">
        <v>50</v>
      </c>
      <c r="D13" s="1">
        <v>48</v>
      </c>
      <c r="E13" s="1" t="s">
        <v>27</v>
      </c>
      <c r="F13" s="1" t="s">
        <v>22</v>
      </c>
      <c r="G13" s="2">
        <v>45297</v>
      </c>
      <c r="H13" s="2">
        <v>45459</v>
      </c>
      <c r="I13" s="1">
        <v>1200</v>
      </c>
      <c r="J13" s="1">
        <v>13</v>
      </c>
      <c r="K13" s="1" t="s">
        <v>14</v>
      </c>
      <c r="L13" s="1" t="s">
        <v>51</v>
      </c>
      <c r="M13" s="1">
        <f t="shared" si="0"/>
        <v>5</v>
      </c>
      <c r="N13" s="4">
        <f t="shared" si="1"/>
        <v>5.333333333333333</v>
      </c>
      <c r="O13" s="4" t="str">
        <f t="shared" si="2"/>
        <v>Yes</v>
      </c>
      <c r="P13" s="4">
        <f t="shared" si="3"/>
        <v>6400</v>
      </c>
      <c r="Q13" s="8" t="str">
        <f t="shared" si="4"/>
        <v>Senior</v>
      </c>
    </row>
    <row r="14" spans="2:17" x14ac:dyDescent="0.35">
      <c r="B14" s="1" t="s">
        <v>52</v>
      </c>
      <c r="C14" s="1" t="s">
        <v>53</v>
      </c>
      <c r="D14" s="1">
        <v>36</v>
      </c>
      <c r="E14" s="1" t="s">
        <v>12</v>
      </c>
      <c r="F14" s="1" t="s">
        <v>22</v>
      </c>
      <c r="G14" s="2">
        <v>45154</v>
      </c>
      <c r="H14" s="2">
        <v>45568</v>
      </c>
      <c r="I14" s="1">
        <v>1200</v>
      </c>
      <c r="J14" s="1">
        <v>19</v>
      </c>
      <c r="K14" s="1" t="s">
        <v>42</v>
      </c>
      <c r="L14" s="1" t="s">
        <v>54</v>
      </c>
      <c r="M14" s="1">
        <f t="shared" si="0"/>
        <v>13</v>
      </c>
      <c r="N14" s="4">
        <f t="shared" si="1"/>
        <v>13.566666666666666</v>
      </c>
      <c r="O14" s="4" t="str">
        <f t="shared" si="2"/>
        <v>Yes</v>
      </c>
      <c r="P14" s="4">
        <f t="shared" si="3"/>
        <v>16280</v>
      </c>
      <c r="Q14" s="8" t="str">
        <f t="shared" si="4"/>
        <v>Adult</v>
      </c>
    </row>
    <row r="15" spans="2:17" x14ac:dyDescent="0.35">
      <c r="B15" s="1" t="s">
        <v>55</v>
      </c>
      <c r="C15" s="1" t="s">
        <v>56</v>
      </c>
      <c r="D15" s="1">
        <v>48</v>
      </c>
      <c r="E15" s="1" t="s">
        <v>27</v>
      </c>
      <c r="F15" s="1" t="s">
        <v>41</v>
      </c>
      <c r="G15" s="2">
        <v>45556</v>
      </c>
      <c r="H15" s="2">
        <v>45641</v>
      </c>
      <c r="I15" s="1">
        <v>1800</v>
      </c>
      <c r="J15" s="1">
        <v>22</v>
      </c>
      <c r="K15" s="1" t="s">
        <v>42</v>
      </c>
      <c r="L15" s="1"/>
      <c r="M15" s="1">
        <f t="shared" si="0"/>
        <v>2</v>
      </c>
      <c r="N15" s="4">
        <f t="shared" si="1"/>
        <v>2.8</v>
      </c>
      <c r="O15" s="4" t="str">
        <f t="shared" si="2"/>
        <v>No</v>
      </c>
      <c r="P15" s="4">
        <f t="shared" si="3"/>
        <v>5040</v>
      </c>
      <c r="Q15" s="8" t="str">
        <f t="shared" si="4"/>
        <v>Senior</v>
      </c>
    </row>
    <row r="16" spans="2:17" x14ac:dyDescent="0.35">
      <c r="B16" s="1" t="s">
        <v>57</v>
      </c>
      <c r="C16" s="1" t="s">
        <v>58</v>
      </c>
      <c r="D16" s="1">
        <v>39</v>
      </c>
      <c r="E16" s="1" t="s">
        <v>12</v>
      </c>
      <c r="F16" s="1" t="s">
        <v>22</v>
      </c>
      <c r="G16" s="2">
        <v>45065</v>
      </c>
      <c r="H16" s="2">
        <v>45242</v>
      </c>
      <c r="I16" s="1">
        <v>1200</v>
      </c>
      <c r="J16" s="1">
        <v>28</v>
      </c>
      <c r="K16" s="1" t="s">
        <v>35</v>
      </c>
      <c r="L16" s="1"/>
      <c r="M16" s="1">
        <f t="shared" si="0"/>
        <v>5</v>
      </c>
      <c r="N16" s="4">
        <f t="shared" si="1"/>
        <v>5.7666666666666666</v>
      </c>
      <c r="O16" s="4" t="str">
        <f t="shared" si="2"/>
        <v>No</v>
      </c>
      <c r="P16" s="4">
        <f t="shared" si="3"/>
        <v>6920</v>
      </c>
      <c r="Q16" s="8" t="str">
        <f t="shared" si="4"/>
        <v>Adult</v>
      </c>
    </row>
    <row r="17" spans="2:17" x14ac:dyDescent="0.35">
      <c r="B17" s="1" t="s">
        <v>59</v>
      </c>
      <c r="C17" s="1" t="s">
        <v>60</v>
      </c>
      <c r="D17" s="1">
        <v>44</v>
      </c>
      <c r="E17" s="1" t="s">
        <v>27</v>
      </c>
      <c r="F17" s="1" t="s">
        <v>13</v>
      </c>
      <c r="G17" s="2">
        <v>45333</v>
      </c>
      <c r="H17" s="2">
        <v>45540</v>
      </c>
      <c r="I17" s="1">
        <v>800</v>
      </c>
      <c r="J17" s="1">
        <v>8</v>
      </c>
      <c r="K17" s="1" t="s">
        <v>23</v>
      </c>
      <c r="L17" s="1"/>
      <c r="M17" s="1">
        <f t="shared" si="0"/>
        <v>6</v>
      </c>
      <c r="N17" s="4">
        <f t="shared" si="1"/>
        <v>6.8</v>
      </c>
      <c r="O17" s="4" t="str">
        <f t="shared" si="2"/>
        <v>No</v>
      </c>
      <c r="P17" s="4">
        <f t="shared" si="3"/>
        <v>5440</v>
      </c>
      <c r="Q17" s="8" t="str">
        <f t="shared" si="4"/>
        <v>Adult</v>
      </c>
    </row>
    <row r="18" spans="2:17" x14ac:dyDescent="0.35">
      <c r="B18" s="1" t="s">
        <v>61</v>
      </c>
      <c r="C18" s="1" t="s">
        <v>62</v>
      </c>
      <c r="D18" s="1">
        <v>39</v>
      </c>
      <c r="E18" s="1" t="s">
        <v>12</v>
      </c>
      <c r="F18" s="1" t="s">
        <v>31</v>
      </c>
      <c r="G18" s="2">
        <v>45702</v>
      </c>
      <c r="H18" s="2">
        <v>45732</v>
      </c>
      <c r="I18" s="1">
        <v>2500</v>
      </c>
      <c r="J18" s="1">
        <v>14</v>
      </c>
      <c r="K18" s="1" t="s">
        <v>42</v>
      </c>
      <c r="L18" s="1"/>
      <c r="M18" s="1">
        <f t="shared" si="0"/>
        <v>1</v>
      </c>
      <c r="N18" s="4">
        <f t="shared" si="1"/>
        <v>1.0666666666666667</v>
      </c>
      <c r="O18" s="4" t="str">
        <f t="shared" si="2"/>
        <v>No</v>
      </c>
      <c r="P18" s="4">
        <f t="shared" si="3"/>
        <v>2666.6666666666665</v>
      </c>
      <c r="Q18" s="8" t="str">
        <f t="shared" si="4"/>
        <v>Adult</v>
      </c>
    </row>
    <row r="19" spans="2:17" x14ac:dyDescent="0.35">
      <c r="B19" s="1" t="s">
        <v>63</v>
      </c>
      <c r="C19" s="1" t="s">
        <v>64</v>
      </c>
      <c r="D19" s="1">
        <v>35</v>
      </c>
      <c r="E19" s="1" t="s">
        <v>12</v>
      </c>
      <c r="F19" s="1" t="s">
        <v>22</v>
      </c>
      <c r="G19" s="2">
        <v>45329</v>
      </c>
      <c r="H19" s="2">
        <v>45685</v>
      </c>
      <c r="I19" s="1">
        <v>1200</v>
      </c>
      <c r="J19" s="1">
        <v>25</v>
      </c>
      <c r="K19" s="1" t="s">
        <v>23</v>
      </c>
      <c r="L19" s="1"/>
      <c r="M19" s="1">
        <f t="shared" si="0"/>
        <v>11</v>
      </c>
      <c r="N19" s="4">
        <f t="shared" si="1"/>
        <v>11.7</v>
      </c>
      <c r="O19" s="4" t="str">
        <f t="shared" si="2"/>
        <v>No</v>
      </c>
      <c r="P19" s="4">
        <f t="shared" si="3"/>
        <v>14040</v>
      </c>
      <c r="Q19" s="8" t="str">
        <f t="shared" si="4"/>
        <v>Adult</v>
      </c>
    </row>
    <row r="20" spans="2:17" x14ac:dyDescent="0.35">
      <c r="B20" s="1" t="s">
        <v>65</v>
      </c>
      <c r="C20" s="1" t="s">
        <v>66</v>
      </c>
      <c r="D20" s="1">
        <v>56</v>
      </c>
      <c r="E20" s="1" t="s">
        <v>27</v>
      </c>
      <c r="F20" s="1" t="s">
        <v>31</v>
      </c>
      <c r="G20" s="2">
        <v>45213</v>
      </c>
      <c r="H20" s="2">
        <v>45649</v>
      </c>
      <c r="I20" s="1">
        <v>2500</v>
      </c>
      <c r="J20" s="1">
        <v>13</v>
      </c>
      <c r="K20" s="1" t="s">
        <v>67</v>
      </c>
      <c r="L20" s="1"/>
      <c r="M20" s="1">
        <f t="shared" si="0"/>
        <v>14</v>
      </c>
      <c r="N20" s="4">
        <f t="shared" si="1"/>
        <v>14.3</v>
      </c>
      <c r="O20" s="4" t="str">
        <f t="shared" si="2"/>
        <v>No</v>
      </c>
      <c r="P20" s="4">
        <f t="shared" si="3"/>
        <v>35750</v>
      </c>
      <c r="Q20" s="8" t="str">
        <f t="shared" si="4"/>
        <v>Senior</v>
      </c>
    </row>
    <row r="21" spans="2:17" x14ac:dyDescent="0.35">
      <c r="B21" s="1" t="s">
        <v>68</v>
      </c>
      <c r="C21" s="1" t="s">
        <v>69</v>
      </c>
      <c r="D21" s="1">
        <v>27</v>
      </c>
      <c r="E21" s="1" t="s">
        <v>27</v>
      </c>
      <c r="F21" s="1" t="s">
        <v>13</v>
      </c>
      <c r="G21" s="2">
        <v>45354</v>
      </c>
      <c r="H21" s="2">
        <v>45664</v>
      </c>
      <c r="I21" s="1">
        <v>800</v>
      </c>
      <c r="J21" s="1">
        <v>26</v>
      </c>
      <c r="K21" s="1" t="s">
        <v>35</v>
      </c>
      <c r="L21" s="1"/>
      <c r="M21" s="1">
        <f t="shared" si="0"/>
        <v>10</v>
      </c>
      <c r="N21" s="4">
        <f t="shared" si="1"/>
        <v>10.133333333333333</v>
      </c>
      <c r="O21" s="4" t="str">
        <f t="shared" si="2"/>
        <v>No</v>
      </c>
      <c r="P21" s="4">
        <f t="shared" si="3"/>
        <v>8106.6666666666661</v>
      </c>
      <c r="Q21" s="8" t="str">
        <f t="shared" si="4"/>
        <v>Youth</v>
      </c>
    </row>
    <row r="22" spans="2:17" x14ac:dyDescent="0.35">
      <c r="B22" s="1" t="s">
        <v>70</v>
      </c>
      <c r="C22" s="1" t="s">
        <v>71</v>
      </c>
      <c r="D22" s="1">
        <v>28</v>
      </c>
      <c r="E22" s="1" t="s">
        <v>12</v>
      </c>
      <c r="F22" s="1" t="s">
        <v>31</v>
      </c>
      <c r="G22" s="2">
        <v>45417</v>
      </c>
      <c r="H22" s="2">
        <v>45608</v>
      </c>
      <c r="I22" s="1">
        <v>2500</v>
      </c>
      <c r="J22" s="1">
        <v>21</v>
      </c>
      <c r="K22" s="1" t="s">
        <v>35</v>
      </c>
      <c r="L22" s="1" t="s">
        <v>72</v>
      </c>
      <c r="M22" s="1">
        <f t="shared" si="0"/>
        <v>6</v>
      </c>
      <c r="N22" s="4">
        <f t="shared" si="1"/>
        <v>6.2333333333333334</v>
      </c>
      <c r="O22" s="4" t="str">
        <f t="shared" si="2"/>
        <v>Yes</v>
      </c>
      <c r="P22" s="4">
        <f t="shared" si="3"/>
        <v>15583.333333333334</v>
      </c>
      <c r="Q22" s="8" t="str">
        <f t="shared" si="4"/>
        <v>Youth</v>
      </c>
    </row>
    <row r="23" spans="2:17" x14ac:dyDescent="0.35">
      <c r="B23" s="1" t="s">
        <v>73</v>
      </c>
      <c r="C23" s="1" t="s">
        <v>74</v>
      </c>
      <c r="D23" s="1">
        <v>57</v>
      </c>
      <c r="E23" s="1" t="s">
        <v>27</v>
      </c>
      <c r="F23" s="1" t="s">
        <v>41</v>
      </c>
      <c r="G23" s="2">
        <v>45146</v>
      </c>
      <c r="H23" s="2">
        <v>45674</v>
      </c>
      <c r="I23" s="1">
        <v>1800</v>
      </c>
      <c r="J23" s="1">
        <v>19</v>
      </c>
      <c r="K23" s="1" t="s">
        <v>35</v>
      </c>
      <c r="L23" s="1"/>
      <c r="M23" s="1">
        <f t="shared" si="0"/>
        <v>17</v>
      </c>
      <c r="N23" s="4">
        <f t="shared" si="1"/>
        <v>17.3</v>
      </c>
      <c r="O23" s="4" t="str">
        <f t="shared" si="2"/>
        <v>No</v>
      </c>
      <c r="P23" s="4">
        <f t="shared" si="3"/>
        <v>31140</v>
      </c>
      <c r="Q23" s="8" t="str">
        <f t="shared" si="4"/>
        <v>Senior</v>
      </c>
    </row>
    <row r="24" spans="2:17" x14ac:dyDescent="0.35">
      <c r="B24" s="1" t="s">
        <v>75</v>
      </c>
      <c r="C24" s="1" t="s">
        <v>76</v>
      </c>
      <c r="D24" s="1">
        <v>26</v>
      </c>
      <c r="E24" s="1" t="s">
        <v>27</v>
      </c>
      <c r="F24" s="1" t="s">
        <v>41</v>
      </c>
      <c r="G24" s="2">
        <v>45320</v>
      </c>
      <c r="H24" s="2">
        <v>45616</v>
      </c>
      <c r="I24" s="1">
        <v>1800</v>
      </c>
      <c r="J24" s="1">
        <v>5</v>
      </c>
      <c r="K24" s="1" t="s">
        <v>14</v>
      </c>
      <c r="L24" s="1"/>
      <c r="M24" s="1">
        <f t="shared" si="0"/>
        <v>9</v>
      </c>
      <c r="N24" s="4">
        <f t="shared" si="1"/>
        <v>9.6999999999999993</v>
      </c>
      <c r="O24" s="4" t="str">
        <f t="shared" si="2"/>
        <v>No</v>
      </c>
      <c r="P24" s="4">
        <f t="shared" si="3"/>
        <v>17460</v>
      </c>
      <c r="Q24" s="8" t="str">
        <f t="shared" si="4"/>
        <v>Youth</v>
      </c>
    </row>
    <row r="25" spans="2:17" x14ac:dyDescent="0.35">
      <c r="B25" s="1" t="s">
        <v>77</v>
      </c>
      <c r="C25" s="1" t="s">
        <v>78</v>
      </c>
      <c r="D25" s="1">
        <v>48</v>
      </c>
      <c r="E25" s="1" t="s">
        <v>12</v>
      </c>
      <c r="F25" s="1" t="s">
        <v>41</v>
      </c>
      <c r="G25" s="2">
        <v>45451</v>
      </c>
      <c r="H25" s="2">
        <v>45455</v>
      </c>
      <c r="I25" s="1">
        <v>1800</v>
      </c>
      <c r="J25" s="1">
        <v>18</v>
      </c>
      <c r="K25" s="1" t="s">
        <v>67</v>
      </c>
      <c r="L25" s="1"/>
      <c r="M25" s="1">
        <f t="shared" si="0"/>
        <v>0</v>
      </c>
      <c r="N25" s="4">
        <f t="shared" si="1"/>
        <v>0.13333333333333333</v>
      </c>
      <c r="O25" s="4" t="str">
        <f t="shared" si="2"/>
        <v>No</v>
      </c>
      <c r="P25" s="4">
        <f t="shared" si="3"/>
        <v>240</v>
      </c>
      <c r="Q25" s="8" t="str">
        <f t="shared" si="4"/>
        <v>Senior</v>
      </c>
    </row>
    <row r="26" spans="2:17" x14ac:dyDescent="0.35">
      <c r="B26" s="1" t="s">
        <v>79</v>
      </c>
      <c r="C26" s="1" t="s">
        <v>80</v>
      </c>
      <c r="D26" s="1">
        <v>25</v>
      </c>
      <c r="E26" s="1" t="s">
        <v>27</v>
      </c>
      <c r="F26" s="1" t="s">
        <v>22</v>
      </c>
      <c r="G26" s="2">
        <v>45439</v>
      </c>
      <c r="H26" s="2">
        <v>45730</v>
      </c>
      <c r="I26" s="1">
        <v>1200</v>
      </c>
      <c r="J26" s="1">
        <v>6</v>
      </c>
      <c r="K26" s="1" t="s">
        <v>14</v>
      </c>
      <c r="L26" s="1"/>
      <c r="M26" s="1">
        <f t="shared" si="0"/>
        <v>9</v>
      </c>
      <c r="N26" s="4">
        <f t="shared" si="1"/>
        <v>9.5666666666666664</v>
      </c>
      <c r="O26" s="4" t="str">
        <f t="shared" si="2"/>
        <v>No</v>
      </c>
      <c r="P26" s="4">
        <f t="shared" si="3"/>
        <v>11480</v>
      </c>
      <c r="Q26" s="8" t="str">
        <f t="shared" si="4"/>
        <v>Youth</v>
      </c>
    </row>
    <row r="27" spans="2:17" x14ac:dyDescent="0.35">
      <c r="B27" s="1" t="s">
        <v>81</v>
      </c>
      <c r="C27" s="1" t="s">
        <v>82</v>
      </c>
      <c r="D27" s="1">
        <v>53</v>
      </c>
      <c r="E27" s="1" t="s">
        <v>12</v>
      </c>
      <c r="F27" s="1" t="s">
        <v>41</v>
      </c>
      <c r="G27" s="2">
        <v>45286</v>
      </c>
      <c r="H27" s="2">
        <v>45372</v>
      </c>
      <c r="I27" s="1">
        <v>1800</v>
      </c>
      <c r="J27" s="1">
        <v>17</v>
      </c>
      <c r="K27" s="1" t="s">
        <v>35</v>
      </c>
      <c r="L27" s="1" t="s">
        <v>83</v>
      </c>
      <c r="M27" s="1">
        <f t="shared" si="0"/>
        <v>2</v>
      </c>
      <c r="N27" s="4">
        <f t="shared" si="1"/>
        <v>2.8333333333333335</v>
      </c>
      <c r="O27" s="4" t="str">
        <f t="shared" si="2"/>
        <v>Yes</v>
      </c>
      <c r="P27" s="4">
        <f t="shared" si="3"/>
        <v>5100</v>
      </c>
      <c r="Q27" s="8" t="str">
        <f t="shared" si="4"/>
        <v>Senior</v>
      </c>
    </row>
    <row r="28" spans="2:17" x14ac:dyDescent="0.35">
      <c r="B28" s="1" t="s">
        <v>84</v>
      </c>
      <c r="C28" s="1" t="s">
        <v>85</v>
      </c>
      <c r="D28" s="1">
        <v>42</v>
      </c>
      <c r="E28" s="1" t="s">
        <v>27</v>
      </c>
      <c r="F28" s="1" t="s">
        <v>22</v>
      </c>
      <c r="G28" s="2">
        <v>45702</v>
      </c>
      <c r="H28" s="2">
        <v>45727</v>
      </c>
      <c r="I28" s="1">
        <v>1200</v>
      </c>
      <c r="J28" s="1">
        <v>3</v>
      </c>
      <c r="K28" s="1" t="s">
        <v>67</v>
      </c>
      <c r="L28" s="1"/>
      <c r="M28" s="1">
        <f t="shared" si="0"/>
        <v>0</v>
      </c>
      <c r="N28" s="4">
        <f t="shared" si="1"/>
        <v>0.9</v>
      </c>
      <c r="O28" s="4" t="str">
        <f t="shared" si="2"/>
        <v>No</v>
      </c>
      <c r="P28" s="4">
        <f t="shared" si="3"/>
        <v>1080</v>
      </c>
      <c r="Q28" s="8" t="str">
        <f t="shared" si="4"/>
        <v>Adult</v>
      </c>
    </row>
    <row r="29" spans="2:17" x14ac:dyDescent="0.35">
      <c r="B29" s="1" t="s">
        <v>86</v>
      </c>
      <c r="C29" s="1" t="s">
        <v>87</v>
      </c>
      <c r="D29" s="1">
        <v>24</v>
      </c>
      <c r="E29" s="1" t="s">
        <v>12</v>
      </c>
      <c r="F29" s="1" t="s">
        <v>31</v>
      </c>
      <c r="G29" s="2">
        <v>45698</v>
      </c>
      <c r="H29" s="2">
        <v>45726</v>
      </c>
      <c r="I29" s="1">
        <v>2500</v>
      </c>
      <c r="J29" s="1">
        <v>28</v>
      </c>
      <c r="K29" s="1" t="s">
        <v>35</v>
      </c>
      <c r="L29" s="1"/>
      <c r="M29" s="1">
        <f t="shared" si="0"/>
        <v>0</v>
      </c>
      <c r="N29" s="4">
        <f t="shared" si="1"/>
        <v>1</v>
      </c>
      <c r="O29" s="4" t="str">
        <f t="shared" si="2"/>
        <v>No</v>
      </c>
      <c r="P29" s="4">
        <f t="shared" si="3"/>
        <v>2500</v>
      </c>
      <c r="Q29" s="8" t="str">
        <f t="shared" si="4"/>
        <v>Youth</v>
      </c>
    </row>
    <row r="30" spans="2:17" x14ac:dyDescent="0.35">
      <c r="B30" s="1" t="s">
        <v>88</v>
      </c>
      <c r="C30" s="1" t="s">
        <v>89</v>
      </c>
      <c r="D30" s="1">
        <v>53</v>
      </c>
      <c r="E30" s="1" t="s">
        <v>12</v>
      </c>
      <c r="F30" s="1" t="s">
        <v>22</v>
      </c>
      <c r="G30" s="2">
        <v>45614</v>
      </c>
      <c r="H30" s="2">
        <v>45645</v>
      </c>
      <c r="I30" s="1">
        <v>1200</v>
      </c>
      <c r="J30" s="1">
        <v>23</v>
      </c>
      <c r="K30" s="1" t="s">
        <v>18</v>
      </c>
      <c r="L30" s="1"/>
      <c r="M30" s="1">
        <f t="shared" si="0"/>
        <v>1</v>
      </c>
      <c r="N30" s="4">
        <f t="shared" si="1"/>
        <v>1.0333333333333334</v>
      </c>
      <c r="O30" s="4" t="str">
        <f t="shared" si="2"/>
        <v>No</v>
      </c>
      <c r="P30" s="4">
        <f t="shared" si="3"/>
        <v>1240.0000000000002</v>
      </c>
      <c r="Q30" s="8" t="str">
        <f t="shared" si="4"/>
        <v>Senior</v>
      </c>
    </row>
    <row r="31" spans="2:17" x14ac:dyDescent="0.35">
      <c r="B31" s="1" t="s">
        <v>90</v>
      </c>
      <c r="C31" s="1" t="s">
        <v>91</v>
      </c>
      <c r="D31" s="1">
        <v>29</v>
      </c>
      <c r="E31" s="1" t="s">
        <v>27</v>
      </c>
      <c r="F31" s="1" t="s">
        <v>31</v>
      </c>
      <c r="G31" s="2">
        <v>45401</v>
      </c>
      <c r="H31" s="2">
        <v>45408</v>
      </c>
      <c r="I31" s="1">
        <v>2500</v>
      </c>
      <c r="J31" s="1">
        <v>8</v>
      </c>
      <c r="K31" s="1" t="s">
        <v>23</v>
      </c>
      <c r="L31" s="1"/>
      <c r="M31" s="1">
        <f t="shared" si="0"/>
        <v>0</v>
      </c>
      <c r="N31" s="4">
        <f t="shared" si="1"/>
        <v>0.23333333333333334</v>
      </c>
      <c r="O31" s="4" t="str">
        <f t="shared" si="2"/>
        <v>No</v>
      </c>
      <c r="P31" s="4">
        <f t="shared" si="3"/>
        <v>583.33333333333337</v>
      </c>
      <c r="Q31" s="8" t="str">
        <f t="shared" si="4"/>
        <v>Youth</v>
      </c>
    </row>
    <row r="32" spans="2:17" x14ac:dyDescent="0.35">
      <c r="B32" s="1" t="s">
        <v>92</v>
      </c>
      <c r="C32" s="1" t="s">
        <v>93</v>
      </c>
      <c r="D32" s="1">
        <v>31</v>
      </c>
      <c r="E32" s="1" t="s">
        <v>27</v>
      </c>
      <c r="F32" s="1" t="s">
        <v>31</v>
      </c>
      <c r="G32" s="2">
        <v>45667</v>
      </c>
      <c r="H32" s="2">
        <v>45745</v>
      </c>
      <c r="I32" s="1">
        <v>2500</v>
      </c>
      <c r="J32" s="1">
        <v>23</v>
      </c>
      <c r="K32" s="1" t="s">
        <v>42</v>
      </c>
      <c r="L32" s="1" t="s">
        <v>94</v>
      </c>
      <c r="M32" s="1">
        <f t="shared" si="0"/>
        <v>2</v>
      </c>
      <c r="N32" s="4">
        <f t="shared" si="1"/>
        <v>2.6333333333333333</v>
      </c>
      <c r="O32" s="4" t="str">
        <f t="shared" si="2"/>
        <v>Yes</v>
      </c>
      <c r="P32" s="4">
        <f t="shared" si="3"/>
        <v>6583.333333333333</v>
      </c>
      <c r="Q32" s="8" t="str">
        <f t="shared" si="4"/>
        <v>Adult</v>
      </c>
    </row>
    <row r="33" spans="2:17" x14ac:dyDescent="0.35">
      <c r="B33" s="1" t="s">
        <v>95</v>
      </c>
      <c r="C33" s="1" t="s">
        <v>96</v>
      </c>
      <c r="D33" s="1">
        <v>52</v>
      </c>
      <c r="E33" s="1" t="s">
        <v>27</v>
      </c>
      <c r="F33" s="1" t="s">
        <v>13</v>
      </c>
      <c r="G33" s="2">
        <v>45088</v>
      </c>
      <c r="H33" s="2">
        <v>45656</v>
      </c>
      <c r="I33" s="1">
        <v>800</v>
      </c>
      <c r="J33" s="1">
        <v>9</v>
      </c>
      <c r="K33" s="1" t="s">
        <v>67</v>
      </c>
      <c r="L33" s="1" t="s">
        <v>97</v>
      </c>
      <c r="M33" s="1">
        <f t="shared" si="0"/>
        <v>18</v>
      </c>
      <c r="N33" s="4">
        <f t="shared" si="1"/>
        <v>18.633333333333333</v>
      </c>
      <c r="O33" s="4" t="str">
        <f t="shared" si="2"/>
        <v>Yes</v>
      </c>
      <c r="P33" s="4">
        <f t="shared" si="3"/>
        <v>14906.666666666666</v>
      </c>
      <c r="Q33" s="8" t="str">
        <f t="shared" si="4"/>
        <v>Senior</v>
      </c>
    </row>
    <row r="34" spans="2:17" x14ac:dyDescent="0.35">
      <c r="B34" s="1" t="s">
        <v>98</v>
      </c>
      <c r="C34" s="1" t="s">
        <v>99</v>
      </c>
      <c r="D34" s="1">
        <v>20</v>
      </c>
      <c r="E34" s="1" t="s">
        <v>12</v>
      </c>
      <c r="F34" s="1" t="s">
        <v>22</v>
      </c>
      <c r="G34" s="2">
        <v>45391</v>
      </c>
      <c r="H34" s="2">
        <v>45604</v>
      </c>
      <c r="I34" s="1">
        <v>1200</v>
      </c>
      <c r="J34" s="1">
        <v>2</v>
      </c>
      <c r="K34" s="1" t="s">
        <v>35</v>
      </c>
      <c r="L34" s="1"/>
      <c r="M34" s="1">
        <f t="shared" si="0"/>
        <v>7</v>
      </c>
      <c r="N34" s="4">
        <f t="shared" si="1"/>
        <v>6.9666666666666668</v>
      </c>
      <c r="O34" s="4" t="str">
        <f t="shared" si="2"/>
        <v>No</v>
      </c>
      <c r="P34" s="4">
        <f t="shared" si="3"/>
        <v>8360</v>
      </c>
      <c r="Q34" s="8" t="str">
        <f t="shared" si="4"/>
        <v>Youth</v>
      </c>
    </row>
    <row r="35" spans="2:17" x14ac:dyDescent="0.35">
      <c r="B35" s="1" t="s">
        <v>100</v>
      </c>
      <c r="C35" s="1" t="s">
        <v>101</v>
      </c>
      <c r="D35" s="1">
        <v>22</v>
      </c>
      <c r="E35" s="1" t="s">
        <v>12</v>
      </c>
      <c r="F35" s="1" t="s">
        <v>13</v>
      </c>
      <c r="G35" s="2">
        <v>45699</v>
      </c>
      <c r="H35" s="2">
        <v>45740</v>
      </c>
      <c r="I35" s="1">
        <v>800</v>
      </c>
      <c r="J35" s="1">
        <v>30</v>
      </c>
      <c r="K35" s="1" t="s">
        <v>35</v>
      </c>
      <c r="L35" s="1"/>
      <c r="M35" s="1">
        <f t="shared" si="0"/>
        <v>1</v>
      </c>
      <c r="N35" s="4">
        <f t="shared" si="1"/>
        <v>1.4333333333333333</v>
      </c>
      <c r="O35" s="4" t="str">
        <f t="shared" si="2"/>
        <v>No</v>
      </c>
      <c r="P35" s="4">
        <f t="shared" si="3"/>
        <v>1146.6666666666667</v>
      </c>
      <c r="Q35" s="8" t="str">
        <f t="shared" si="4"/>
        <v>Youth</v>
      </c>
    </row>
    <row r="36" spans="2:17" x14ac:dyDescent="0.35">
      <c r="B36" s="1" t="s">
        <v>102</v>
      </c>
      <c r="C36" s="1" t="s">
        <v>103</v>
      </c>
      <c r="D36" s="1">
        <v>23</v>
      </c>
      <c r="E36" s="1" t="s">
        <v>12</v>
      </c>
      <c r="F36" s="1" t="s">
        <v>41</v>
      </c>
      <c r="G36" s="2">
        <v>45588</v>
      </c>
      <c r="H36" s="2">
        <v>45721</v>
      </c>
      <c r="I36" s="1">
        <v>1800</v>
      </c>
      <c r="J36" s="1">
        <v>23</v>
      </c>
      <c r="K36" s="1" t="s">
        <v>18</v>
      </c>
      <c r="L36" s="1" t="s">
        <v>104</v>
      </c>
      <c r="M36" s="1">
        <f t="shared" si="0"/>
        <v>4</v>
      </c>
      <c r="N36" s="4">
        <f t="shared" si="1"/>
        <v>4.4000000000000004</v>
      </c>
      <c r="O36" s="4" t="str">
        <f t="shared" si="2"/>
        <v>Yes</v>
      </c>
      <c r="P36" s="4">
        <f t="shared" si="3"/>
        <v>7920.0000000000009</v>
      </c>
      <c r="Q36" s="8" t="str">
        <f t="shared" si="4"/>
        <v>Youth</v>
      </c>
    </row>
    <row r="37" spans="2:17" x14ac:dyDescent="0.35">
      <c r="B37" s="1" t="s">
        <v>105</v>
      </c>
      <c r="C37" s="1" t="s">
        <v>106</v>
      </c>
      <c r="D37" s="1">
        <v>27</v>
      </c>
      <c r="E37" s="1" t="s">
        <v>27</v>
      </c>
      <c r="F37" s="1" t="s">
        <v>22</v>
      </c>
      <c r="G37" s="2">
        <v>45312</v>
      </c>
      <c r="H37" s="2">
        <v>45652</v>
      </c>
      <c r="I37" s="1">
        <v>1200</v>
      </c>
      <c r="J37" s="1">
        <v>27</v>
      </c>
      <c r="K37" s="1" t="s">
        <v>18</v>
      </c>
      <c r="L37" s="1"/>
      <c r="M37" s="1">
        <f t="shared" si="0"/>
        <v>11</v>
      </c>
      <c r="N37" s="4">
        <f t="shared" si="1"/>
        <v>11.166666666666666</v>
      </c>
      <c r="O37" s="4" t="str">
        <f t="shared" si="2"/>
        <v>No</v>
      </c>
      <c r="P37" s="4">
        <f t="shared" si="3"/>
        <v>13400</v>
      </c>
      <c r="Q37" s="8" t="str">
        <f t="shared" si="4"/>
        <v>Youth</v>
      </c>
    </row>
  </sheetData>
  <conditionalFormatting sqref="J3:J37">
    <cfRule type="cellIs" dxfId="1" priority="2" operator="lessThan">
      <formula>8</formula>
    </cfRule>
  </conditionalFormatting>
  <conditionalFormatting sqref="N3:N37">
    <cfRule type="cellIs" dxfId="0" priority="1" operator="greaterThan">
      <formula>6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2025-09-11T12:54:08Z</dcterms:created>
  <dcterms:modified xsi:type="dcterms:W3CDTF">2025-11-04T15:19:41Z</dcterms:modified>
</cp:coreProperties>
</file>